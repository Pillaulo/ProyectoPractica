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rabajo\"/>
    </mc:Choice>
  </mc:AlternateContent>
  <xr:revisionPtr revIDLastSave="0" documentId="13_ncr:1_{708F6FB1-06DA-4D16-9266-D5CFF1A565A6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Hitos por experimento" sheetId="1" r:id="rId1"/>
    <sheet name="Evaluación por experimento" sheetId="2" r:id="rId2"/>
    <sheet name="Evaluacion Final Modelos" sheetId="5" r:id="rId3"/>
    <sheet name="Herramientas" sheetId="3" r:id="rId4"/>
    <sheet name="Pipelines" sheetId="4" r:id="rId5"/>
    <sheet name="Evaluacion Pipelin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5" l="1"/>
  <c r="J9" i="5"/>
  <c r="J3" i="5"/>
  <c r="J4" i="5"/>
  <c r="J5" i="5"/>
  <c r="J6" i="5"/>
  <c r="J7" i="5"/>
  <c r="J2" i="5"/>
</calcChain>
</file>

<file path=xl/sharedStrings.xml><?xml version="1.0" encoding="utf-8"?>
<sst xmlns="http://schemas.openxmlformats.org/spreadsheetml/2006/main" count="413" uniqueCount="145">
  <si>
    <t>Experimento</t>
  </si>
  <si>
    <t>Nivel</t>
  </si>
  <si>
    <t>Hito</t>
  </si>
  <si>
    <t>Descripción</t>
  </si>
  <si>
    <t>Entregable</t>
  </si>
  <si>
    <t>Estado</t>
  </si>
  <si>
    <t>General</t>
  </si>
  <si>
    <t>Base</t>
  </si>
  <si>
    <t>H1</t>
  </si>
  <si>
    <t>Definición del proyecto base y alcance general</t>
  </si>
  <si>
    <t>Correo / Informe</t>
  </si>
  <si>
    <t>Caso Simple</t>
  </si>
  <si>
    <t>Simple</t>
  </si>
  <si>
    <t>H2</t>
  </si>
  <si>
    <t>Definir requerimientos funcionales</t>
  </si>
  <si>
    <t>Documento de requerimientos</t>
  </si>
  <si>
    <t>H3</t>
  </si>
  <si>
    <t>Implementación vibe coding puro</t>
  </si>
  <si>
    <t>Prototipo funcional</t>
  </si>
  <si>
    <t>H4</t>
  </si>
  <si>
    <t>Análisis resultados</t>
  </si>
  <si>
    <t>Caso Intermedio</t>
  </si>
  <si>
    <t>Intermedio</t>
  </si>
  <si>
    <t>H5</t>
  </si>
  <si>
    <t>Definir arquitectura FE/BE + capas</t>
  </si>
  <si>
    <t>H6</t>
  </si>
  <si>
    <t>Implementación FE/BE</t>
  </si>
  <si>
    <t>Aplicación funcional</t>
  </si>
  <si>
    <t>H7</t>
  </si>
  <si>
    <t>Caso Avanzado</t>
  </si>
  <si>
    <t>Avanzado</t>
  </si>
  <si>
    <t>H8</t>
  </si>
  <si>
    <t>Diseño arquitectura hexagonal</t>
  </si>
  <si>
    <t>Diagrama arquitectura</t>
  </si>
  <si>
    <t>H9</t>
  </si>
  <si>
    <t>Implementación arquitectura avanzada</t>
  </si>
  <si>
    <t>Sistema funcional</t>
  </si>
  <si>
    <t>H10</t>
  </si>
  <si>
    <t>Análisis comparativo final</t>
  </si>
  <si>
    <t>Informe final</t>
  </si>
  <si>
    <t>Pipeline</t>
  </si>
  <si>
    <t>¿Funciona?</t>
  </si>
  <si>
    <t>Cumple requerimientos</t>
  </si>
  <si>
    <t>Correcciones manuales</t>
  </si>
  <si>
    <t>Observaciones</t>
  </si>
  <si>
    <t>Mínimo</t>
  </si>
  <si>
    <t>Rol</t>
  </si>
  <si>
    <t>Antigravity</t>
  </si>
  <si>
    <t>Cursor</t>
  </si>
  <si>
    <t>ChatGPT</t>
  </si>
  <si>
    <t>Lovable</t>
  </si>
  <si>
    <t>Base44</t>
  </si>
  <si>
    <t>Etapas</t>
  </si>
  <si>
    <t>Nivel aplicado</t>
  </si>
  <si>
    <t>Un solo prompt</t>
  </si>
  <si>
    <t>Prompt → Resultado</t>
  </si>
  <si>
    <t>Estructurado básico</t>
  </si>
  <si>
    <t>PRD → FE/BE → Integración</t>
  </si>
  <si>
    <t>Pipeline completo</t>
  </si>
  <si>
    <t>PRD → Arquitectura → Implementación → Validación</t>
  </si>
  <si>
    <t>Herramienta</t>
  </si>
  <si>
    <t>Modelo / Tipo</t>
  </si>
  <si>
    <t>Modelo</t>
  </si>
  <si>
    <t>Sonnet 4.5</t>
  </si>
  <si>
    <t>GPT-5.2</t>
  </si>
  <si>
    <t>Implementación</t>
  </si>
  <si>
    <t>GPT-5.2 Codex</t>
  </si>
  <si>
    <t>—</t>
  </si>
  <si>
    <t>Prompt</t>
  </si>
  <si>
    <t>Composer 1.5</t>
  </si>
  <si>
    <t>Gemini (high)</t>
  </si>
  <si>
    <t>Tiempo aproximado de primera vista y tiempo luego de arreglos</t>
  </si>
  <si>
    <t>Actúa como un ingeniero full-stack. Construye una aplicación web funcional (frontend + backend) para apoyar lectura infantil mediante cuentos personalizados con lectura progresiva. Entrega TODO lo necesario para correr localmente.
CASO BÁSICO (M0) – SIN PERSISTENCIA, CON API DE GROQ
IMPORTANTE
- La API key de Groq NO debe estar hardcodeada.
- Debe leerse EXCLUSIVAMENTE desde una variable de entorno llamada GROQ_API_KEY.
1) Frontend
- Formulario con inputs:
  - nombre_nino (string)
  - edad (5–9)
  - tema (string)
  - personaje_principal (string)
  - vocabulario (simple|medio)
- Botón “Generar cuento” que llama al backend.
- Vista de lectura:
  - Selector de modo: Frases / Párrafos
  - Botones: Anterior / Siguiente
  - Indicador visible: “Paso X de N”
  - Botón “Reiniciar”
- El estado vive solo en memoria del frontend (al recargar se pierde).
2) Backend mínimo (proxy Groq)
- Implementa un endpoint:
  - POST /api/story
    - Valida inputs (edad en rango, strings no vacíos)
    - Llama a la API de Groq usando la variable de entorno GROQ_API_KEY
    - Devuelve SIEMPRE un JSON normalizado:
      {
        "titulo": string,
        "frases": string[],   // 8–12
        "parrafos": string[]  // 3–5
      }
- Sin base de datos.
- Sin sesiones.
- Sin autenticación.
3) Integración con Groq (OpenAI-compatible)
- Base URL: https://api.groq.com/openai/v1
- Endpoint: POST /chat/completions
- Headers:
  - Authorization: Bearer ${GROQ_API_KEY}
  - Content-Type: application/json
- Usa un modelo vigente de Groq (ej: llama-3.3-70b-versatile).
- El prompt enviado a Groq debe solicitar salida en JSON ESTRICTO con las claves:
  titulo, frases, parrafos.
- Maneja errores de red o API y devuelve mensajes claros al frontend.
4) Stack y entregables
- Stack sugerido (puedes usar otro equivalente):
  - Backend: Node.js + Express
  - Frontend: React + Vite
- Entrega:
  - Estructura del proyecto
  - Código completo
  - Instrucciones paso a paso para ejecutar localmente
    - Incluye cómo definir la variable de entorno GROQ_API_KEY
  - Ejemplo de request con curl al endpoint /api/story
  - Lista final de supuestos y limitaciones
CONDICIONES
- No agregues persistencia ni funcionalidades extra.
- Prioriza claridad y simplicidad.
- No expongas la API key en frontend ni en el código fuente.</t>
  </si>
  <si>
    <t>SI</t>
  </si>
  <si>
    <t>Ninguna</t>
  </si>
  <si>
    <t>Gemini (High)</t>
  </si>
  <si>
    <t>Opus 4.6</t>
  </si>
  <si>
    <t>2 minutos (sin arreglos)</t>
  </si>
  <si>
    <t>6-7 minutos aprox (Con planeacion sumo +3-4 min) (sin arreglos)</t>
  </si>
  <si>
    <t xml:space="preserve"> 5 minutos aprox (Con planeacion sumo +2 min) (sin arreglos)</t>
  </si>
  <si>
    <t>Interfaz linda, Mejor disposicion de botones</t>
  </si>
  <si>
    <t>Interfaz linda, buena disposicion de botones</t>
  </si>
  <si>
    <t xml:space="preserve"> Interfaz basica pero intuitiva podria ser mejor la dispocision de botones</t>
  </si>
  <si>
    <t>3-4 minutos + 1 minuto de arreglo</t>
  </si>
  <si>
    <t>Error al cargar el env, lo corrige el agente</t>
  </si>
  <si>
    <t>Interfaz basica pero con una buena disposicion de los botones</t>
  </si>
  <si>
    <t>GPT-5.3 Codex</t>
  </si>
  <si>
    <t xml:space="preserve">7 minutos aprox </t>
  </si>
  <si>
    <t xml:space="preserve">Quiza la mejor disposicion de botones y ventanas, pero muy simple a la vista </t>
  </si>
  <si>
    <t>6 minutos aprox</t>
  </si>
  <si>
    <t>El mejor diseño y disposicion de todos los modelos, solamente algunos detalles de textos sobre la app que aparecen en la pantalla pero es el que mas me gusto el resultado en cuanto a lo visual, deja un poco que desear en cuanto a la duracion de los cuentos.</t>
  </si>
  <si>
    <t>NO</t>
  </si>
  <si>
    <t>No se puede (Backend)</t>
  </si>
  <si>
    <t>No permite manipular backend desde el plan gratis por ende no se puede ingresar la key para ver el funcionamiento</t>
  </si>
  <si>
    <t>4 minutos</t>
  </si>
  <si>
    <t>2 minutos</t>
  </si>
  <si>
    <t>Sonnet 4.6</t>
  </si>
  <si>
    <t>No, el error soluciona el agente</t>
  </si>
  <si>
    <t>Hubo un error con la base de datos (compatibilidad)</t>
  </si>
  <si>
    <t xml:space="preserve">Todo correcto funcionando tal  cual debe ser </t>
  </si>
  <si>
    <t>7 minutos</t>
  </si>
  <si>
    <t>5  minutos</t>
  </si>
  <si>
    <t>6 minutos</t>
  </si>
  <si>
    <t>5 minutos</t>
  </si>
  <si>
    <t>9 minutos</t>
  </si>
  <si>
    <t>7 minutos + 5 de ajustes para correr la  aplicación</t>
  </si>
  <si>
    <t>Temas de api, los arregla el agente</t>
  </si>
  <si>
    <t>Tiene todo lo que debiera tener, pero faltan detalles se siente incompleto</t>
  </si>
  <si>
    <t>Funciona bien puede lanzarse como una idea lista, pero podria tener mas cosas</t>
  </si>
  <si>
    <t>31 minutos + 5 de ajustes</t>
  </si>
  <si>
    <t>Manejo Backend</t>
  </si>
  <si>
    <t>Manejo Frontend</t>
  </si>
  <si>
    <t>Tiempo</t>
  </si>
  <si>
    <t>Evaluacion final</t>
  </si>
  <si>
    <t>Arquitectura</t>
  </si>
  <si>
    <t>Correcciones/errores</t>
  </si>
  <si>
    <t>Cumplimiento de requerimentos</t>
  </si>
  <si>
    <t>Mejor fase</t>
  </si>
  <si>
    <t>Intermedia</t>
  </si>
  <si>
    <t>En esta fase se mandó el prompt anterior y se le pide a la ia modificarlo para mejorar ciertos parámetros, luego de una charla se llega a lo siguiente.
CASO INTERMEDIO (M1) 
Actúa como un ingeniero full-stack. Construye una aplicación web funcional (frontend + backend) para apoyar lectura infantil mediante cuentos personalizados con lectura progresiva. Entrega TODO lo necesario para correr localmente.
________________________________________
ENFOQUE INTERMEDIO (M1)
Debe existir separación estricta entre frontend y backend, e introducir explícitamente el concepto de capas:
•	Presentación
•	Lógica de aplicación
•	Infraestructura
El objetivo es observar si la IA ubica correctamente responsabilidades, incluyendo el acceso a datos mediante una capa dedicada (Repository).
________________________________________
REGLAS CRÍTICAS
•	La API key de Groq NO debe estar hardcodeada.
•	Debe leerse EXCLUSIVAMENTE desde una variable de entorno llamada GROQ_API_KEY (solo backend).
•	El frontend jamás debe ver la key.
•	No agregar funcionalidades extra fuera de lo especificado.
•	Entregar estructura clara de carpetas y responsabilidades.
•	La persistencia en BD es solo para historial de cuentos (no usuarios, no login, no autenticación).
________________________________________
FRONTEND (React + Vite)
Funcionalidad UI
Formulario con inputs:
•	nombre_nino (string)
•	edad (5–9)
•	tema (string)
•	personaje_principal (string)
•	vocabulario (simple | medio)
Botón “Generar cuento” que llama al backend.
Vista de lectura:
•	Selector de modo: Frases / Párrafos
•	Botones: Anterior / Siguiente
•	Indicador visible: “Paso X de N”
•	Botón “Reiniciar”
El estado vive solo en memoria del frontend (al recargar se pierde).
Historial (OBLIGATORIO)
•	Mostrar una sección “Historial” que liste los últimos cuentos generados (título + fecha).
•	Permitir abrir una sesión del historial para ver el cuento (título, frases, párrafos).
________________________________________
Diseño UI (OBLIGATORIO – enfoque infantil)
•	Interfaz visual y llamativa para niños (5–9 años).
•	Usar la siguiente paleta:
o	Primario: #FF6B6B
o	Secundario: #4D96FF
o	Acento: #FFD93D
o	Fondo: #F7F8FC
•	Tipografía grande y legible (mínimo 16px; títulos 24–32px).
•	Botones grandes y con bordes redondeados.
•	Uso de tarjetas (cards) para secciones.
•	Íconos simples o emojis moderados.
•	Accesibilidad: contraste adecuado y estados hover/focus visibles.
•	No depender de assets externos no incluidos.
________________________________________
Capas Frontend (OBLIGATORIO)
•	components/ + pages/ → Presentación (solo UI y eventos)
•	state/ o hook personalizado → Lógica de aplicación (modo, índice, reiniciar)
•	services/ → Infraestructura HTTP (apiClient.ts o storyApi.ts)
El frontend debe mostrar mensajes de error claros si el backend responde con error.
PROHIBIDO en Frontend
•	Construir prompts.
•	Llamar a Groq directamente.
•	Normalizar o modificar la salida de IA.
•	Incluir la API key.
________________________________________
BACKEND (Node.js + Express)
Endpoint principal
POST /api/story
Debe:
•	Validar inputs (edad en rango, strings no vacíos, trimming).
•	Llamar a la API de Groq usando GROQ_API_KEY.
•	Devolver SIEMPRE un JSON normalizado:
{
  "titulo": "string",
  "frases": ["..."],
  "parrafos": ["..."]
}
Además, debe guardar automáticamente la sesión en la base de datos como historial.
________________________________________
Endpoints Historial (OBLIGATORIO)
•	GET /api/sessions → lista últimas sesiones (id, fecha, nombre_nino, tema, titulo)
•	GET /api/sessions/:id → detalle (incluye frases y párrafos)
________________________________________
Capas Backend (OBLIGATORIO)
•	Routes / Controller
•	Service (lógica de aplicación)
•	Provider / Adapter (Groq)
•	Validator (Zod/Joi o equivalente)
•	Types / DTO (StoryRequest, StoryResponse)
•	Repository / Data Access Layer (persistencia)
PROHIBIDO en Backend
•	Manejar estado de navegación de lectura.
•	Acceder directamente a Groq desde el controller.
•	Mezclar lógica de negocio en el provider.
•	Acceder a BD desde controller (solo vía repository).
________________________________________
Manejo de errores
•	400 → error de validación
•	502 → error Groq / red
•	500 → error inesperado
Formato estándar:
{ "error": { "code": "VALIDATION_ERROR", "message": "..." } }
________________________________________
INTEGRACIÓN CON GROQ
•	Base URL: https://api.groq.com/openai/v1
•	Endpoint: POST /chat/completions
•	Headers:
o	Authorization: Bearer ${GROQ_API_KEY}
o	Content-Type: application/json
•	Modelo vigente (ej: llama-3.3-70b-versatile).
•	El prompt enviado a Groq debe exigir salida en JSON ESTRICTO.
•	Validar JSON recibido; si es inválido, reintentar 1 vez o devolver 502.
________________________________________
BASE DE DATOS (OBLIGATORIO – Historial de cuentos)
Base de datos:
•	SQLite (recomendado para entorno local) o Supabase.
•	Configurada mediante variable de entorno DATABASE_URL.
Tabla: story_sessions
Campos sugeridos:
•	id
•	created_at
•	nombre_nino
•	edad
•	tema
•	personaje_principal
•	vocabulario
•	titulo
•	frases (json/text)
•	parrafos (json/text)
Restricciones:
•	Persistencia SOLO para historial de cuentos.
•	No guardar prompts completos.
•	No implementar autenticación / login / usuarios.
•	No agregar lógica compleja adicional.
________________________________________
ENTREGABLES
•	Monorepo con /frontend y /backend
•	Código completo
•	.env.example en backend (incluye GROQ_API_KEY y DATABASE_URL)
•	Instrucciones paso a paso para ejecutar localmente
•	Configuración CORS
•	Ejemplo curl a /api/story
•	Ejemplo curl a /api/sessions
•	Lista de supuestos y limitaciones
•	Checklist de cumplimiento</t>
  </si>
  <si>
    <t>Prompts\Avanzado\CASO AVANZADO.docx</t>
  </si>
  <si>
    <t>Calidad resultado</t>
  </si>
  <si>
    <t>Control del Proyecto</t>
  </si>
  <si>
    <t>Tiempos de ejecucion</t>
  </si>
  <si>
    <t>Control de versiones</t>
  </si>
  <si>
    <t>Satisfaccion de resultados</t>
  </si>
  <si>
    <t>Nota final</t>
  </si>
  <si>
    <t>Uso de tokens</t>
  </si>
  <si>
    <t>Tokens</t>
  </si>
  <si>
    <t>Avanzada</t>
  </si>
  <si>
    <t>-</t>
  </si>
  <si>
    <t>Falta de tokens</t>
  </si>
  <si>
    <t>Completado</t>
  </si>
  <si>
    <t>Evaluacion por experimento</t>
  </si>
  <si>
    <t>Prompt mejorado</t>
  </si>
  <si>
    <t>Intermedio + Mejoras</t>
  </si>
  <si>
    <t>H11</t>
  </si>
  <si>
    <t>Ejecución con las mejores condiciones disponibles</t>
  </si>
  <si>
    <t>Caso Final</t>
  </si>
  <si>
    <t>Combiancion de distintos modelos</t>
  </si>
  <si>
    <t>Mixto</t>
  </si>
  <si>
    <t>Muchos arreglos</t>
  </si>
  <si>
    <t>El resultado mas completo y mas adaptado a lo que se pide</t>
  </si>
  <si>
    <t>12 horas</t>
  </si>
  <si>
    <t>Caso final Mxto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</si>
</sst>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rgb="FFF4FFEF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1" xfId="1" applyBorder="1"/>
    <xf numFmtId="0" fontId="2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4FFEF"/>
      <color rgb="FFE8FFDD"/>
      <color rgb="FFD5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Prompts\Avanzado\CASO%20AVANZADO.doc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130" zoomScaleNormal="130" workbookViewId="0">
      <selection activeCell="B6" sqref="B6"/>
    </sheetView>
  </sheetViews>
  <sheetFormatPr defaultColWidth="14.28515625" defaultRowHeight="37.5" customHeight="1" x14ac:dyDescent="0.25"/>
  <cols>
    <col min="1" max="1" width="21.42578125" customWidth="1"/>
    <col min="3" max="3" width="7.28515625" customWidth="1"/>
    <col min="4" max="4" width="50" customWidth="1"/>
    <col min="5" max="5" width="35.7109375" customWidth="1"/>
  </cols>
  <sheetData>
    <row r="1" spans="1:6" ht="37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7.5" customHeight="1" x14ac:dyDescent="0.25">
      <c r="A2" s="11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1" t="s">
        <v>132</v>
      </c>
    </row>
    <row r="3" spans="1:6" ht="37.5" customHeight="1" x14ac:dyDescent="0.25">
      <c r="A3" s="11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132</v>
      </c>
    </row>
    <row r="4" spans="1:6" ht="37.5" customHeight="1" x14ac:dyDescent="0.25">
      <c r="A4" s="11" t="s">
        <v>11</v>
      </c>
      <c r="B4" s="11" t="s">
        <v>12</v>
      </c>
      <c r="C4" s="11" t="s">
        <v>16</v>
      </c>
      <c r="D4" s="11" t="s">
        <v>17</v>
      </c>
      <c r="E4" s="11" t="s">
        <v>18</v>
      </c>
      <c r="F4" s="11" t="s">
        <v>132</v>
      </c>
    </row>
    <row r="5" spans="1:6" ht="37.5" customHeight="1" x14ac:dyDescent="0.25">
      <c r="A5" s="11" t="s">
        <v>11</v>
      </c>
      <c r="B5" s="11" t="s">
        <v>12</v>
      </c>
      <c r="C5" s="11" t="s">
        <v>19</v>
      </c>
      <c r="D5" s="11" t="s">
        <v>20</v>
      </c>
      <c r="E5" s="11" t="s">
        <v>133</v>
      </c>
      <c r="F5" s="11" t="s">
        <v>132</v>
      </c>
    </row>
    <row r="6" spans="1:6" ht="37.5" customHeight="1" x14ac:dyDescent="0.25">
      <c r="A6" s="11" t="s">
        <v>21</v>
      </c>
      <c r="B6" s="11" t="s">
        <v>22</v>
      </c>
      <c r="C6" s="11" t="s">
        <v>23</v>
      </c>
      <c r="D6" s="11" t="s">
        <v>24</v>
      </c>
      <c r="E6" s="11" t="s">
        <v>134</v>
      </c>
      <c r="F6" s="11" t="s">
        <v>132</v>
      </c>
    </row>
    <row r="7" spans="1:6" ht="37.5" customHeight="1" x14ac:dyDescent="0.25">
      <c r="A7" s="11" t="s">
        <v>21</v>
      </c>
      <c r="B7" s="11" t="s">
        <v>22</v>
      </c>
      <c r="C7" s="11" t="s">
        <v>25</v>
      </c>
      <c r="D7" s="11" t="s">
        <v>26</v>
      </c>
      <c r="E7" s="11" t="s">
        <v>27</v>
      </c>
      <c r="F7" s="11" t="s">
        <v>132</v>
      </c>
    </row>
    <row r="8" spans="1:6" ht="37.5" customHeight="1" x14ac:dyDescent="0.25">
      <c r="A8" s="11" t="s">
        <v>21</v>
      </c>
      <c r="B8" s="11" t="s">
        <v>22</v>
      </c>
      <c r="C8" s="11" t="s">
        <v>28</v>
      </c>
      <c r="D8" s="11" t="s">
        <v>20</v>
      </c>
      <c r="E8" s="11" t="s">
        <v>133</v>
      </c>
      <c r="F8" s="11" t="s">
        <v>132</v>
      </c>
    </row>
    <row r="9" spans="1:6" ht="37.5" customHeight="1" x14ac:dyDescent="0.25">
      <c r="A9" s="11" t="s">
        <v>29</v>
      </c>
      <c r="B9" s="11" t="s">
        <v>30</v>
      </c>
      <c r="C9" s="11" t="s">
        <v>31</v>
      </c>
      <c r="D9" s="11" t="s">
        <v>32</v>
      </c>
      <c r="E9" s="11" t="s">
        <v>33</v>
      </c>
      <c r="F9" s="11" t="s">
        <v>132</v>
      </c>
    </row>
    <row r="10" spans="1:6" ht="37.5" customHeight="1" x14ac:dyDescent="0.25">
      <c r="A10" s="11" t="s">
        <v>29</v>
      </c>
      <c r="B10" s="11" t="s">
        <v>30</v>
      </c>
      <c r="C10" s="11" t="s">
        <v>34</v>
      </c>
      <c r="D10" s="11" t="s">
        <v>35</v>
      </c>
      <c r="E10" s="11" t="s">
        <v>36</v>
      </c>
      <c r="F10" s="11" t="s">
        <v>132</v>
      </c>
    </row>
    <row r="11" spans="1:6" ht="37.5" customHeight="1" x14ac:dyDescent="0.25">
      <c r="A11" s="11" t="s">
        <v>29</v>
      </c>
      <c r="B11" s="11" t="s">
        <v>30</v>
      </c>
      <c r="C11" s="11" t="s">
        <v>37</v>
      </c>
      <c r="D11" s="11" t="s">
        <v>38</v>
      </c>
      <c r="E11" s="11" t="s">
        <v>39</v>
      </c>
      <c r="F11" s="11" t="s">
        <v>132</v>
      </c>
    </row>
    <row r="12" spans="1:6" ht="37.5" customHeight="1" x14ac:dyDescent="0.25">
      <c r="A12" s="11" t="s">
        <v>138</v>
      </c>
      <c r="B12" s="11" t="s">
        <v>135</v>
      </c>
      <c r="C12" s="11" t="s">
        <v>136</v>
      </c>
      <c r="D12" s="11" t="s">
        <v>137</v>
      </c>
      <c r="E12" s="11" t="s">
        <v>27</v>
      </c>
      <c r="F12" s="11" t="s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19" workbookViewId="0">
      <selection activeCell="A22" sqref="A22"/>
    </sheetView>
  </sheetViews>
  <sheetFormatPr defaultColWidth="28.5703125" defaultRowHeight="37.5" customHeight="1" x14ac:dyDescent="0.25"/>
  <sheetData>
    <row r="1" spans="1:8" ht="37.5" customHeight="1" x14ac:dyDescent="0.25">
      <c r="A1" s="2" t="s">
        <v>0</v>
      </c>
      <c r="B1" s="2" t="s">
        <v>62</v>
      </c>
      <c r="C1" s="2" t="s">
        <v>40</v>
      </c>
      <c r="D1" s="2" t="s">
        <v>41</v>
      </c>
      <c r="E1" s="2" t="s">
        <v>42</v>
      </c>
      <c r="F1" s="2" t="s">
        <v>43</v>
      </c>
      <c r="G1" s="5" t="s">
        <v>44</v>
      </c>
      <c r="H1" s="3" t="s">
        <v>71</v>
      </c>
    </row>
    <row r="2" spans="1:8" ht="37.5" customHeight="1" x14ac:dyDescent="0.25">
      <c r="A2" s="7" t="s">
        <v>11</v>
      </c>
      <c r="B2" s="7" t="s">
        <v>75</v>
      </c>
      <c r="C2" s="7" t="s">
        <v>45</v>
      </c>
      <c r="D2" s="7" t="s">
        <v>73</v>
      </c>
      <c r="E2" s="7" t="s">
        <v>73</v>
      </c>
      <c r="F2" s="7" t="s">
        <v>74</v>
      </c>
      <c r="G2" s="8" t="s">
        <v>81</v>
      </c>
      <c r="H2" s="9" t="s">
        <v>78</v>
      </c>
    </row>
    <row r="3" spans="1:8" ht="37.5" customHeight="1" x14ac:dyDescent="0.25">
      <c r="A3" s="7" t="s">
        <v>11</v>
      </c>
      <c r="B3" s="7" t="s">
        <v>69</v>
      </c>
      <c r="C3" s="7" t="s">
        <v>45</v>
      </c>
      <c r="D3" s="7" t="s">
        <v>73</v>
      </c>
      <c r="E3" s="7" t="s">
        <v>73</v>
      </c>
      <c r="F3" s="7" t="s">
        <v>74</v>
      </c>
      <c r="G3" s="8" t="s">
        <v>82</v>
      </c>
      <c r="H3" s="9" t="s">
        <v>77</v>
      </c>
    </row>
    <row r="4" spans="1:8" ht="37.5" customHeight="1" x14ac:dyDescent="0.25">
      <c r="A4" s="7" t="s">
        <v>11</v>
      </c>
      <c r="B4" s="7" t="s">
        <v>76</v>
      </c>
      <c r="C4" s="7" t="s">
        <v>45</v>
      </c>
      <c r="D4" s="7" t="s">
        <v>73</v>
      </c>
      <c r="E4" s="7" t="s">
        <v>73</v>
      </c>
      <c r="F4" s="7" t="s">
        <v>84</v>
      </c>
      <c r="G4" s="8" t="s">
        <v>85</v>
      </c>
      <c r="H4" s="9" t="s">
        <v>83</v>
      </c>
    </row>
    <row r="5" spans="1:8" ht="37.5" customHeight="1" x14ac:dyDescent="0.25">
      <c r="A5" s="7" t="s">
        <v>11</v>
      </c>
      <c r="B5" s="7" t="s">
        <v>63</v>
      </c>
      <c r="C5" s="7" t="s">
        <v>45</v>
      </c>
      <c r="D5" s="7" t="s">
        <v>73</v>
      </c>
      <c r="E5" s="7" t="s">
        <v>73</v>
      </c>
      <c r="F5" s="7" t="s">
        <v>74</v>
      </c>
      <c r="G5" s="8" t="s">
        <v>80</v>
      </c>
      <c r="H5" s="9" t="s">
        <v>79</v>
      </c>
    </row>
    <row r="6" spans="1:8" ht="37.5" customHeight="1" x14ac:dyDescent="0.25">
      <c r="A6" s="8" t="s">
        <v>11</v>
      </c>
      <c r="B6" s="7" t="s">
        <v>66</v>
      </c>
      <c r="C6" s="7" t="s">
        <v>45</v>
      </c>
      <c r="D6" s="7" t="s">
        <v>73</v>
      </c>
      <c r="E6" s="7" t="s">
        <v>73</v>
      </c>
      <c r="F6" s="9" t="s">
        <v>74</v>
      </c>
      <c r="G6" s="8" t="s">
        <v>90</v>
      </c>
      <c r="H6" s="9" t="s">
        <v>89</v>
      </c>
    </row>
    <row r="7" spans="1:8" ht="37.5" customHeight="1" x14ac:dyDescent="0.25">
      <c r="A7" s="8" t="s">
        <v>11</v>
      </c>
      <c r="B7" s="7" t="s">
        <v>86</v>
      </c>
      <c r="C7" s="7" t="s">
        <v>45</v>
      </c>
      <c r="D7" s="7" t="s">
        <v>73</v>
      </c>
      <c r="E7" s="7" t="s">
        <v>73</v>
      </c>
      <c r="F7" s="9" t="s">
        <v>74</v>
      </c>
      <c r="G7" s="8" t="s">
        <v>88</v>
      </c>
      <c r="H7" s="9" t="s">
        <v>87</v>
      </c>
    </row>
    <row r="8" spans="1:8" ht="37.5" customHeight="1" x14ac:dyDescent="0.25">
      <c r="A8" s="7" t="s">
        <v>11</v>
      </c>
      <c r="B8" s="9" t="s">
        <v>51</v>
      </c>
      <c r="C8" s="7" t="s">
        <v>45</v>
      </c>
      <c r="D8" s="7" t="s">
        <v>91</v>
      </c>
      <c r="E8" s="7" t="s">
        <v>73</v>
      </c>
      <c r="F8" s="7" t="s">
        <v>92</v>
      </c>
      <c r="G8" s="8" t="s">
        <v>93</v>
      </c>
      <c r="H8" s="9" t="s">
        <v>94</v>
      </c>
    </row>
    <row r="9" spans="1:8" ht="37.5" customHeight="1" x14ac:dyDescent="0.25">
      <c r="A9" s="7" t="s">
        <v>11</v>
      </c>
      <c r="B9" s="9" t="s">
        <v>50</v>
      </c>
      <c r="C9" s="7" t="s">
        <v>45</v>
      </c>
      <c r="D9" s="7" t="s">
        <v>91</v>
      </c>
      <c r="E9" s="7" t="s">
        <v>73</v>
      </c>
      <c r="F9" s="7" t="s">
        <v>92</v>
      </c>
      <c r="G9" s="8" t="s">
        <v>93</v>
      </c>
      <c r="H9" s="9" t="s">
        <v>95</v>
      </c>
    </row>
    <row r="10" spans="1:8" ht="37.5" customHeight="1" x14ac:dyDescent="0.25">
      <c r="A10" s="7" t="s">
        <v>21</v>
      </c>
      <c r="B10" s="7" t="s">
        <v>75</v>
      </c>
      <c r="C10" s="7" t="s">
        <v>22</v>
      </c>
      <c r="D10" s="7" t="s">
        <v>73</v>
      </c>
      <c r="E10" s="7" t="s">
        <v>73</v>
      </c>
      <c r="F10" s="7" t="s">
        <v>97</v>
      </c>
      <c r="G10" s="7" t="s">
        <v>98</v>
      </c>
      <c r="H10" s="9" t="s">
        <v>100</v>
      </c>
    </row>
    <row r="11" spans="1:8" ht="37.5" customHeight="1" x14ac:dyDescent="0.25">
      <c r="A11" s="7" t="s">
        <v>21</v>
      </c>
      <c r="B11" s="7" t="s">
        <v>69</v>
      </c>
      <c r="C11" s="7" t="s">
        <v>22</v>
      </c>
      <c r="D11" s="7" t="s">
        <v>73</v>
      </c>
      <c r="E11" s="7" t="s">
        <v>73</v>
      </c>
      <c r="F11" s="7" t="s">
        <v>74</v>
      </c>
      <c r="G11" s="8" t="s">
        <v>99</v>
      </c>
      <c r="H11" s="9" t="s">
        <v>101</v>
      </c>
    </row>
    <row r="12" spans="1:8" ht="37.5" customHeight="1" x14ac:dyDescent="0.25">
      <c r="A12" s="7" t="s">
        <v>21</v>
      </c>
      <c r="B12" s="7" t="s">
        <v>76</v>
      </c>
      <c r="C12" s="7" t="s">
        <v>22</v>
      </c>
      <c r="D12" s="7" t="s">
        <v>73</v>
      </c>
      <c r="E12" s="7" t="s">
        <v>73</v>
      </c>
      <c r="F12" s="7" t="s">
        <v>74</v>
      </c>
      <c r="G12" s="8" t="s">
        <v>99</v>
      </c>
      <c r="H12" s="9" t="s">
        <v>102</v>
      </c>
    </row>
    <row r="13" spans="1:8" ht="37.5" customHeight="1" x14ac:dyDescent="0.25">
      <c r="A13" s="7" t="s">
        <v>21</v>
      </c>
      <c r="B13" s="7" t="s">
        <v>96</v>
      </c>
      <c r="C13" s="7" t="s">
        <v>22</v>
      </c>
      <c r="D13" s="7" t="s">
        <v>73</v>
      </c>
      <c r="E13" s="7" t="s">
        <v>73</v>
      </c>
      <c r="F13" s="7" t="s">
        <v>74</v>
      </c>
      <c r="G13" s="8" t="s">
        <v>99</v>
      </c>
      <c r="H13" s="9" t="s">
        <v>100</v>
      </c>
    </row>
    <row r="14" spans="1:8" ht="37.5" customHeight="1" x14ac:dyDescent="0.25">
      <c r="A14" s="7" t="s">
        <v>21</v>
      </c>
      <c r="B14" s="7" t="s">
        <v>66</v>
      </c>
      <c r="C14" s="7" t="s">
        <v>22</v>
      </c>
      <c r="D14" s="7" t="s">
        <v>73</v>
      </c>
      <c r="E14" s="7" t="s">
        <v>73</v>
      </c>
      <c r="F14" s="7" t="s">
        <v>74</v>
      </c>
      <c r="G14" s="8" t="s">
        <v>99</v>
      </c>
      <c r="H14" s="9" t="s">
        <v>103</v>
      </c>
    </row>
    <row r="15" spans="1:8" ht="37.5" customHeight="1" x14ac:dyDescent="0.25">
      <c r="A15" s="7" t="s">
        <v>21</v>
      </c>
      <c r="B15" s="7" t="s">
        <v>86</v>
      </c>
      <c r="C15" s="7" t="s">
        <v>22</v>
      </c>
      <c r="D15" s="7" t="s">
        <v>73</v>
      </c>
      <c r="E15" s="7" t="s">
        <v>73</v>
      </c>
      <c r="F15" s="7" t="s">
        <v>97</v>
      </c>
      <c r="G15" s="7" t="s">
        <v>98</v>
      </c>
      <c r="H15" s="9" t="s">
        <v>104</v>
      </c>
    </row>
    <row r="16" spans="1:8" ht="37.5" customHeight="1" x14ac:dyDescent="0.25">
      <c r="A16" s="7" t="s">
        <v>29</v>
      </c>
      <c r="B16" s="9" t="s">
        <v>69</v>
      </c>
      <c r="C16" s="7" t="s">
        <v>30</v>
      </c>
      <c r="D16" s="8" t="s">
        <v>73</v>
      </c>
      <c r="E16" s="8" t="s">
        <v>73</v>
      </c>
      <c r="F16" s="9" t="s">
        <v>106</v>
      </c>
      <c r="G16" s="8" t="s">
        <v>107</v>
      </c>
      <c r="H16" s="9" t="s">
        <v>105</v>
      </c>
    </row>
    <row r="17" spans="1:8" ht="37.5" customHeight="1" x14ac:dyDescent="0.25">
      <c r="A17" s="7" t="s">
        <v>29</v>
      </c>
      <c r="B17" s="9" t="s">
        <v>76</v>
      </c>
      <c r="C17" s="7" t="s">
        <v>30</v>
      </c>
      <c r="D17" s="8" t="s">
        <v>73</v>
      </c>
      <c r="E17" s="8" t="s">
        <v>73</v>
      </c>
      <c r="F17" s="9" t="s">
        <v>106</v>
      </c>
      <c r="G17" s="8" t="s">
        <v>108</v>
      </c>
      <c r="H17" s="9" t="s">
        <v>109</v>
      </c>
    </row>
    <row r="18" spans="1:8" ht="37.5" customHeight="1" x14ac:dyDescent="0.25">
      <c r="A18" s="7" t="s">
        <v>29</v>
      </c>
      <c r="B18" s="7" t="s">
        <v>75</v>
      </c>
      <c r="C18" s="7" t="s">
        <v>30</v>
      </c>
      <c r="D18" s="7" t="s">
        <v>91</v>
      </c>
      <c r="E18" s="7" t="s">
        <v>91</v>
      </c>
      <c r="F18" s="9" t="s">
        <v>131</v>
      </c>
      <c r="G18" s="8" t="s">
        <v>130</v>
      </c>
      <c r="H18" s="7" t="s">
        <v>130</v>
      </c>
    </row>
    <row r="19" spans="1:8" ht="37.5" customHeight="1" x14ac:dyDescent="0.25">
      <c r="A19" s="7" t="s">
        <v>29</v>
      </c>
      <c r="B19" s="7" t="s">
        <v>96</v>
      </c>
      <c r="C19" s="7" t="s">
        <v>30</v>
      </c>
      <c r="D19" s="7" t="s">
        <v>91</v>
      </c>
      <c r="E19" s="7" t="s">
        <v>91</v>
      </c>
      <c r="F19" s="9" t="s">
        <v>131</v>
      </c>
      <c r="G19" s="8" t="s">
        <v>130</v>
      </c>
      <c r="H19" s="7" t="s">
        <v>130</v>
      </c>
    </row>
    <row r="20" spans="1:8" ht="37.5" customHeight="1" x14ac:dyDescent="0.25">
      <c r="A20" s="7" t="s">
        <v>29</v>
      </c>
      <c r="B20" s="7" t="s">
        <v>66</v>
      </c>
      <c r="C20" s="7" t="s">
        <v>30</v>
      </c>
      <c r="D20" s="7" t="s">
        <v>91</v>
      </c>
      <c r="E20" s="7" t="s">
        <v>91</v>
      </c>
      <c r="F20" s="9" t="s">
        <v>131</v>
      </c>
      <c r="G20" s="8" t="s">
        <v>130</v>
      </c>
      <c r="H20" s="7" t="s">
        <v>130</v>
      </c>
    </row>
    <row r="21" spans="1:8" ht="37.5" customHeight="1" x14ac:dyDescent="0.25">
      <c r="A21" s="7" t="s">
        <v>29</v>
      </c>
      <c r="B21" s="7" t="s">
        <v>86</v>
      </c>
      <c r="C21" s="7" t="s">
        <v>30</v>
      </c>
      <c r="D21" s="7" t="s">
        <v>91</v>
      </c>
      <c r="E21" s="7" t="s">
        <v>91</v>
      </c>
      <c r="F21" s="9" t="s">
        <v>131</v>
      </c>
      <c r="G21" s="8" t="s">
        <v>130</v>
      </c>
      <c r="H21" s="7" t="s">
        <v>130</v>
      </c>
    </row>
    <row r="22" spans="1:8" ht="37.5" customHeight="1" x14ac:dyDescent="0.25">
      <c r="A22" s="7" t="s">
        <v>138</v>
      </c>
      <c r="B22" s="7" t="s">
        <v>139</v>
      </c>
      <c r="C22" s="7" t="s">
        <v>140</v>
      </c>
      <c r="D22" s="7" t="s">
        <v>73</v>
      </c>
      <c r="E22" s="7" t="s">
        <v>73</v>
      </c>
      <c r="F22" s="9" t="s">
        <v>141</v>
      </c>
      <c r="G22" s="8" t="s">
        <v>142</v>
      </c>
      <c r="H22" s="7" t="s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302D-C564-4719-89F4-F0F3B119F09E}">
  <dimension ref="A1:J9"/>
  <sheetViews>
    <sheetView zoomScale="85" zoomScaleNormal="85" workbookViewId="0">
      <selection activeCell="C12" sqref="C12"/>
    </sheetView>
  </sheetViews>
  <sheetFormatPr defaultColWidth="35.7109375" defaultRowHeight="75" customHeight="1" x14ac:dyDescent="0.25"/>
  <cols>
    <col min="1" max="1" width="28.5703125" customWidth="1"/>
  </cols>
  <sheetData>
    <row r="1" spans="1:10" ht="75" customHeight="1" x14ac:dyDescent="0.25">
      <c r="A1" s="2" t="s">
        <v>62</v>
      </c>
      <c r="B1" s="2" t="s">
        <v>111</v>
      </c>
      <c r="C1" s="2" t="s">
        <v>110</v>
      </c>
      <c r="D1" s="2" t="s">
        <v>114</v>
      </c>
      <c r="E1" s="2" t="s">
        <v>115</v>
      </c>
      <c r="F1" s="5" t="s">
        <v>116</v>
      </c>
      <c r="G1" s="3" t="s">
        <v>128</v>
      </c>
      <c r="H1" s="3" t="s">
        <v>112</v>
      </c>
      <c r="I1" s="3" t="s">
        <v>117</v>
      </c>
      <c r="J1" s="3" t="s">
        <v>113</v>
      </c>
    </row>
    <row r="2" spans="1:10" ht="75" customHeight="1" x14ac:dyDescent="0.25">
      <c r="A2" s="7" t="s">
        <v>75</v>
      </c>
      <c r="B2" s="7">
        <v>10</v>
      </c>
      <c r="C2" s="7">
        <v>10</v>
      </c>
      <c r="D2" s="7">
        <v>10</v>
      </c>
      <c r="E2" s="7">
        <v>8</v>
      </c>
      <c r="F2" s="7">
        <v>10</v>
      </c>
      <c r="G2" s="7">
        <v>6</v>
      </c>
      <c r="H2" s="7">
        <v>7</v>
      </c>
      <c r="I2" s="7" t="s">
        <v>118</v>
      </c>
      <c r="J2" s="7">
        <f>B2 * 0.1 + C2 * 0.15 + D2 * 0.2 + E2 * 0.1 + F2 * 0.3 + G2 * 0.05 + H2 * 0.1</f>
        <v>9.3000000000000007</v>
      </c>
    </row>
    <row r="3" spans="1:10" ht="75" customHeight="1" x14ac:dyDescent="0.25">
      <c r="A3" s="7" t="s">
        <v>69</v>
      </c>
      <c r="B3" s="7">
        <v>8</v>
      </c>
      <c r="C3" s="7">
        <v>9</v>
      </c>
      <c r="D3" s="7">
        <v>10</v>
      </c>
      <c r="E3" s="7">
        <v>9</v>
      </c>
      <c r="F3" s="7">
        <v>10</v>
      </c>
      <c r="G3" s="7">
        <v>10</v>
      </c>
      <c r="H3" s="7">
        <v>10</v>
      </c>
      <c r="I3" s="7" t="s">
        <v>118</v>
      </c>
      <c r="J3" s="7">
        <f t="shared" ref="J3:J7" si="0">B3 * 0.1 + C3 * 0.15 + D3 * 0.2 + E3 * 0.1 + F3 * 0.3 + G3 * 0.05 + H3 * 0.1</f>
        <v>9.5500000000000007</v>
      </c>
    </row>
    <row r="4" spans="1:10" ht="75" customHeight="1" x14ac:dyDescent="0.25">
      <c r="A4" s="7" t="s">
        <v>76</v>
      </c>
      <c r="B4" s="7">
        <v>9</v>
      </c>
      <c r="C4" s="7">
        <v>10</v>
      </c>
      <c r="D4" s="7">
        <v>10</v>
      </c>
      <c r="E4" s="7">
        <v>9</v>
      </c>
      <c r="F4" s="7">
        <v>10</v>
      </c>
      <c r="G4" s="7">
        <v>8</v>
      </c>
      <c r="H4" s="7">
        <v>10</v>
      </c>
      <c r="I4" s="7" t="s">
        <v>129</v>
      </c>
      <c r="J4" s="7">
        <f t="shared" si="0"/>
        <v>9.7000000000000011</v>
      </c>
    </row>
    <row r="5" spans="1:10" ht="75" customHeight="1" x14ac:dyDescent="0.25">
      <c r="A5" s="7" t="s">
        <v>63</v>
      </c>
      <c r="B5" s="7">
        <v>10</v>
      </c>
      <c r="C5" s="7">
        <v>10</v>
      </c>
      <c r="D5" s="7">
        <v>10</v>
      </c>
      <c r="E5" s="7">
        <v>9</v>
      </c>
      <c r="F5" s="7">
        <v>10</v>
      </c>
      <c r="G5" s="7">
        <v>5</v>
      </c>
      <c r="H5" s="7">
        <v>9</v>
      </c>
      <c r="I5" s="7" t="s">
        <v>118</v>
      </c>
      <c r="J5" s="7">
        <f t="shared" si="0"/>
        <v>9.5500000000000007</v>
      </c>
    </row>
    <row r="6" spans="1:10" ht="75" customHeight="1" x14ac:dyDescent="0.25">
      <c r="A6" s="7" t="s">
        <v>64</v>
      </c>
      <c r="B6" s="7">
        <v>9</v>
      </c>
      <c r="C6" s="7">
        <v>8</v>
      </c>
      <c r="D6" s="7">
        <v>10</v>
      </c>
      <c r="E6" s="7">
        <v>9</v>
      </c>
      <c r="F6" s="7">
        <v>10</v>
      </c>
      <c r="G6" s="7">
        <v>8</v>
      </c>
      <c r="H6" s="7">
        <v>10</v>
      </c>
      <c r="I6" s="7" t="s">
        <v>118</v>
      </c>
      <c r="J6" s="7">
        <f t="shared" si="0"/>
        <v>9.4</v>
      </c>
    </row>
    <row r="7" spans="1:10" ht="75" customHeight="1" x14ac:dyDescent="0.25">
      <c r="A7" s="7" t="s">
        <v>86</v>
      </c>
      <c r="B7" s="7">
        <v>8</v>
      </c>
      <c r="C7" s="7">
        <v>9</v>
      </c>
      <c r="D7" s="7">
        <v>10</v>
      </c>
      <c r="E7" s="7">
        <v>9</v>
      </c>
      <c r="F7" s="7">
        <v>10</v>
      </c>
      <c r="G7" s="7">
        <v>8</v>
      </c>
      <c r="H7" s="7">
        <v>9</v>
      </c>
      <c r="I7" s="7" t="s">
        <v>118</v>
      </c>
      <c r="J7" s="7">
        <f t="shared" si="0"/>
        <v>9.3500000000000014</v>
      </c>
    </row>
    <row r="8" spans="1:10" ht="75" customHeight="1" x14ac:dyDescent="0.25">
      <c r="A8" s="9" t="s">
        <v>51</v>
      </c>
      <c r="B8" s="7">
        <v>10</v>
      </c>
      <c r="C8" s="7">
        <v>0</v>
      </c>
      <c r="D8" s="7">
        <v>0</v>
      </c>
      <c r="E8" s="7">
        <v>5</v>
      </c>
      <c r="F8" s="7">
        <v>5</v>
      </c>
      <c r="G8" s="7">
        <v>3</v>
      </c>
      <c r="H8" s="7" t="s">
        <v>130</v>
      </c>
      <c r="I8" s="7" t="s">
        <v>74</v>
      </c>
      <c r="J8" s="7">
        <f>B8 * 0.1 + C8 * 0.15 + D8 * 0.2 + E8 * 0.1 + F8 * 0.3 + G8 * 0.05 + 1 * 0.1</f>
        <v>3.25</v>
      </c>
    </row>
    <row r="9" spans="1:10" ht="75" customHeight="1" x14ac:dyDescent="0.25">
      <c r="A9" s="9" t="s">
        <v>50</v>
      </c>
      <c r="B9" s="7">
        <v>10</v>
      </c>
      <c r="C9" s="7">
        <v>1</v>
      </c>
      <c r="D9" s="7">
        <v>0</v>
      </c>
      <c r="E9" s="7">
        <v>5</v>
      </c>
      <c r="F9" s="7">
        <v>5</v>
      </c>
      <c r="G9" s="7">
        <v>3</v>
      </c>
      <c r="H9" s="7" t="s">
        <v>130</v>
      </c>
      <c r="I9" s="7" t="s">
        <v>74</v>
      </c>
      <c r="J9" s="7">
        <f>B9 * 0.1 + C9 * 0.15 + D9 * 0.2 + E9 * 0.1 + F9 * 0.3 + G9 * 0.05 + 1 * 0.1</f>
        <v>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="54" zoomScaleNormal="54" workbookViewId="0">
      <selection activeCell="G23" sqref="G23"/>
    </sheetView>
  </sheetViews>
  <sheetFormatPr defaultColWidth="42.85546875" defaultRowHeight="75" customHeight="1" x14ac:dyDescent="0.25"/>
  <sheetData>
    <row r="1" spans="1:5" ht="75" customHeight="1" x14ac:dyDescent="0.25">
      <c r="A1" s="3" t="s">
        <v>1</v>
      </c>
      <c r="B1" s="3" t="s">
        <v>60</v>
      </c>
      <c r="C1" s="3" t="s">
        <v>61</v>
      </c>
      <c r="D1" s="3" t="s">
        <v>40</v>
      </c>
      <c r="E1" s="3" t="s">
        <v>46</v>
      </c>
    </row>
    <row r="2" spans="1:5" ht="75" customHeight="1" x14ac:dyDescent="0.25">
      <c r="A2" s="4" t="s">
        <v>12</v>
      </c>
      <c r="B2" s="4" t="s">
        <v>47</v>
      </c>
      <c r="C2" s="4" t="s">
        <v>70</v>
      </c>
      <c r="D2" s="4" t="s">
        <v>45</v>
      </c>
      <c r="E2" s="4" t="s">
        <v>65</v>
      </c>
    </row>
    <row r="3" spans="1:5" ht="75" customHeight="1" x14ac:dyDescent="0.25">
      <c r="A3" s="4" t="s">
        <v>12</v>
      </c>
      <c r="B3" s="4" t="s">
        <v>48</v>
      </c>
      <c r="C3" s="4" t="s">
        <v>76</v>
      </c>
      <c r="D3" s="4" t="s">
        <v>45</v>
      </c>
      <c r="E3" s="4" t="s">
        <v>65</v>
      </c>
    </row>
    <row r="4" spans="1:5" ht="75" customHeight="1" x14ac:dyDescent="0.25">
      <c r="A4" s="4" t="s">
        <v>12</v>
      </c>
      <c r="B4" s="4" t="s">
        <v>48</v>
      </c>
      <c r="C4" s="4" t="s">
        <v>63</v>
      </c>
      <c r="D4" s="4" t="s">
        <v>45</v>
      </c>
      <c r="E4" s="4" t="s">
        <v>65</v>
      </c>
    </row>
    <row r="5" spans="1:5" ht="75" customHeight="1" x14ac:dyDescent="0.25">
      <c r="A5" s="4" t="s">
        <v>12</v>
      </c>
      <c r="B5" s="4" t="s">
        <v>48</v>
      </c>
      <c r="C5" s="4" t="s">
        <v>64</v>
      </c>
      <c r="D5" s="4" t="s">
        <v>45</v>
      </c>
      <c r="E5" s="4" t="s">
        <v>65</v>
      </c>
    </row>
    <row r="6" spans="1:5" ht="75" customHeight="1" x14ac:dyDescent="0.25">
      <c r="A6" s="4" t="s">
        <v>12</v>
      </c>
      <c r="B6" s="4" t="s">
        <v>48</v>
      </c>
      <c r="C6" s="4" t="s">
        <v>86</v>
      </c>
      <c r="D6" s="4" t="s">
        <v>45</v>
      </c>
      <c r="E6" s="4" t="s">
        <v>65</v>
      </c>
    </row>
    <row r="7" spans="1:5" ht="75" customHeight="1" x14ac:dyDescent="0.25">
      <c r="A7" s="4" t="s">
        <v>12</v>
      </c>
      <c r="B7" s="4" t="s">
        <v>48</v>
      </c>
      <c r="C7" s="4" t="s">
        <v>69</v>
      </c>
      <c r="D7" s="4" t="s">
        <v>45</v>
      </c>
      <c r="E7" s="4" t="s">
        <v>65</v>
      </c>
    </row>
    <row r="8" spans="1:5" ht="75" customHeight="1" x14ac:dyDescent="0.25">
      <c r="A8" s="4" t="s">
        <v>12</v>
      </c>
      <c r="B8" s="4" t="s">
        <v>51</v>
      </c>
      <c r="C8" s="4" t="s">
        <v>67</v>
      </c>
      <c r="D8" s="4" t="s">
        <v>45</v>
      </c>
      <c r="E8" s="4" t="s">
        <v>65</v>
      </c>
    </row>
    <row r="9" spans="1:5" ht="75" customHeight="1" x14ac:dyDescent="0.25">
      <c r="A9" s="4" t="s">
        <v>12</v>
      </c>
      <c r="B9" s="4" t="s">
        <v>50</v>
      </c>
      <c r="C9" s="4" t="s">
        <v>67</v>
      </c>
      <c r="D9" s="4" t="s">
        <v>45</v>
      </c>
      <c r="E9" s="4" t="s">
        <v>65</v>
      </c>
    </row>
    <row r="10" spans="1:5" ht="75" customHeight="1" x14ac:dyDescent="0.25">
      <c r="A10" s="4" t="s">
        <v>22</v>
      </c>
      <c r="B10" s="4" t="s">
        <v>47</v>
      </c>
      <c r="C10" s="4" t="s">
        <v>70</v>
      </c>
      <c r="D10" s="4" t="s">
        <v>22</v>
      </c>
      <c r="E10" s="4" t="s">
        <v>65</v>
      </c>
    </row>
    <row r="11" spans="1:5" ht="75" customHeight="1" x14ac:dyDescent="0.25">
      <c r="A11" s="4" t="s">
        <v>22</v>
      </c>
      <c r="B11" s="4" t="s">
        <v>48</v>
      </c>
      <c r="C11" s="4" t="s">
        <v>76</v>
      </c>
      <c r="D11" s="4" t="s">
        <v>22</v>
      </c>
      <c r="E11" s="4" t="s">
        <v>65</v>
      </c>
    </row>
    <row r="12" spans="1:5" ht="75" customHeight="1" x14ac:dyDescent="0.25">
      <c r="A12" s="4" t="s">
        <v>22</v>
      </c>
      <c r="B12" s="4" t="s">
        <v>48</v>
      </c>
      <c r="C12" s="4" t="s">
        <v>63</v>
      </c>
      <c r="D12" s="4" t="s">
        <v>22</v>
      </c>
      <c r="E12" s="4" t="s">
        <v>65</v>
      </c>
    </row>
    <row r="13" spans="1:5" ht="75" customHeight="1" x14ac:dyDescent="0.25">
      <c r="A13" s="4" t="s">
        <v>22</v>
      </c>
      <c r="B13" s="4" t="s">
        <v>48</v>
      </c>
      <c r="C13" s="4" t="s">
        <v>64</v>
      </c>
      <c r="D13" s="4" t="s">
        <v>22</v>
      </c>
      <c r="E13" s="4" t="s">
        <v>65</v>
      </c>
    </row>
    <row r="14" spans="1:5" ht="75" customHeight="1" x14ac:dyDescent="0.25">
      <c r="A14" s="4" t="s">
        <v>22</v>
      </c>
      <c r="B14" s="4" t="s">
        <v>48</v>
      </c>
      <c r="C14" s="4" t="s">
        <v>86</v>
      </c>
      <c r="D14" s="4" t="s">
        <v>22</v>
      </c>
      <c r="E14" s="4" t="s">
        <v>65</v>
      </c>
    </row>
    <row r="15" spans="1:5" ht="75" customHeight="1" x14ac:dyDescent="0.25">
      <c r="A15" s="4" t="s">
        <v>22</v>
      </c>
      <c r="B15" s="4" t="s">
        <v>48</v>
      </c>
      <c r="C15" s="4" t="s">
        <v>69</v>
      </c>
      <c r="D15" s="4" t="s">
        <v>22</v>
      </c>
      <c r="E15" s="4" t="s">
        <v>65</v>
      </c>
    </row>
    <row r="16" spans="1:5" ht="75" customHeight="1" x14ac:dyDescent="0.25">
      <c r="A16" s="4" t="s">
        <v>30</v>
      </c>
      <c r="B16" s="4" t="s">
        <v>47</v>
      </c>
      <c r="C16" s="4" t="s">
        <v>70</v>
      </c>
      <c r="D16" s="4" t="s">
        <v>30</v>
      </c>
      <c r="E16" s="4" t="s">
        <v>65</v>
      </c>
    </row>
    <row r="17" spans="1:5" ht="75" customHeight="1" x14ac:dyDescent="0.25">
      <c r="A17" s="4" t="s">
        <v>30</v>
      </c>
      <c r="B17" s="4" t="s">
        <v>48</v>
      </c>
      <c r="C17" s="4" t="s">
        <v>76</v>
      </c>
      <c r="D17" s="4" t="s">
        <v>30</v>
      </c>
      <c r="E17" s="4" t="s">
        <v>65</v>
      </c>
    </row>
    <row r="18" spans="1:5" ht="75" customHeight="1" x14ac:dyDescent="0.25">
      <c r="A18" s="4" t="s">
        <v>30</v>
      </c>
      <c r="B18" s="4" t="s">
        <v>48</v>
      </c>
      <c r="C18" s="4" t="s">
        <v>63</v>
      </c>
      <c r="D18" s="4" t="s">
        <v>30</v>
      </c>
      <c r="E18" s="4" t="s">
        <v>65</v>
      </c>
    </row>
    <row r="19" spans="1:5" ht="75" customHeight="1" x14ac:dyDescent="0.25">
      <c r="A19" s="4" t="s">
        <v>30</v>
      </c>
      <c r="B19" s="4" t="s">
        <v>49</v>
      </c>
      <c r="C19" s="4" t="s">
        <v>64</v>
      </c>
      <c r="D19" s="4" t="s">
        <v>30</v>
      </c>
      <c r="E19" s="4" t="s">
        <v>65</v>
      </c>
    </row>
    <row r="20" spans="1:5" ht="75" customHeight="1" x14ac:dyDescent="0.25">
      <c r="A20" s="4" t="s">
        <v>30</v>
      </c>
      <c r="B20" s="4" t="s">
        <v>48</v>
      </c>
      <c r="C20" s="4" t="s">
        <v>86</v>
      </c>
      <c r="D20" s="4" t="s">
        <v>30</v>
      </c>
      <c r="E20" s="4" t="s">
        <v>65</v>
      </c>
    </row>
    <row r="21" spans="1:5" ht="75" customHeight="1" x14ac:dyDescent="0.25">
      <c r="A21" s="4" t="s">
        <v>30</v>
      </c>
      <c r="B21" s="4" t="s">
        <v>48</v>
      </c>
      <c r="C21" s="4" t="s">
        <v>69</v>
      </c>
      <c r="D21" s="4" t="s">
        <v>30</v>
      </c>
      <c r="E21" s="4" t="s">
        <v>65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C8" sqref="C8"/>
    </sheetView>
  </sheetViews>
  <sheetFormatPr defaultColWidth="28.5703125" defaultRowHeight="37.5" customHeight="1" x14ac:dyDescent="0.25"/>
  <cols>
    <col min="3" max="3" width="57.140625" customWidth="1"/>
    <col min="5" max="5" width="57.140625" customWidth="1"/>
  </cols>
  <sheetData>
    <row r="1" spans="1:5" ht="37.5" customHeight="1" x14ac:dyDescent="0.25">
      <c r="A1" s="2" t="s">
        <v>40</v>
      </c>
      <c r="B1" s="2" t="s">
        <v>3</v>
      </c>
      <c r="C1" s="2" t="s">
        <v>52</v>
      </c>
      <c r="D1" s="2" t="s">
        <v>53</v>
      </c>
      <c r="E1" s="2" t="s">
        <v>68</v>
      </c>
    </row>
    <row r="2" spans="1:5" ht="37.5" customHeight="1" x14ac:dyDescent="0.25">
      <c r="A2" s="1" t="s">
        <v>45</v>
      </c>
      <c r="B2" s="1" t="s">
        <v>54</v>
      </c>
      <c r="C2" s="1" t="s">
        <v>55</v>
      </c>
      <c r="D2" s="1" t="s">
        <v>12</v>
      </c>
      <c r="E2" s="6" t="s">
        <v>72</v>
      </c>
    </row>
    <row r="3" spans="1:5" ht="37.5" customHeight="1" x14ac:dyDescent="0.25">
      <c r="A3" s="1" t="s">
        <v>22</v>
      </c>
      <c r="B3" s="1" t="s">
        <v>56</v>
      </c>
      <c r="C3" s="1" t="s">
        <v>57</v>
      </c>
      <c r="D3" s="1" t="s">
        <v>22</v>
      </c>
      <c r="E3" s="6" t="s">
        <v>119</v>
      </c>
    </row>
    <row r="4" spans="1:5" ht="37.5" customHeight="1" x14ac:dyDescent="0.25">
      <c r="A4" s="1" t="s">
        <v>30</v>
      </c>
      <c r="B4" s="1" t="s">
        <v>58</v>
      </c>
      <c r="C4" s="1" t="s">
        <v>59</v>
      </c>
      <c r="D4" s="1" t="s">
        <v>30</v>
      </c>
      <c r="E4" s="10" t="s">
        <v>120</v>
      </c>
    </row>
  </sheetData>
  <hyperlinks>
    <hyperlink ref="E4" r:id="rId1" xr:uid="{7D14F639-200E-4FEC-A949-310FA380F38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6E90-C47A-416A-97C2-15C5E46FAC55}">
  <dimension ref="A1:H5"/>
  <sheetViews>
    <sheetView tabSelected="1" zoomScale="85" zoomScaleNormal="85" workbookViewId="0">
      <selection activeCell="F6" sqref="F6"/>
    </sheetView>
  </sheetViews>
  <sheetFormatPr defaultColWidth="28.5703125" defaultRowHeight="112.5" customHeight="1" x14ac:dyDescent="0.25"/>
  <sheetData>
    <row r="1" spans="1:8" ht="112.5" customHeight="1" x14ac:dyDescent="0.25">
      <c r="A1" s="2" t="s">
        <v>40</v>
      </c>
      <c r="B1" s="2" t="s">
        <v>121</v>
      </c>
      <c r="C1" s="2" t="s">
        <v>122</v>
      </c>
      <c r="D1" s="2" t="s">
        <v>123</v>
      </c>
      <c r="E1" s="2" t="s">
        <v>127</v>
      </c>
      <c r="F1" s="2" t="s">
        <v>124</v>
      </c>
      <c r="G1" s="3" t="s">
        <v>125</v>
      </c>
      <c r="H1" s="3" t="s">
        <v>126</v>
      </c>
    </row>
    <row r="2" spans="1:8" ht="112.5" customHeight="1" x14ac:dyDescent="0.25">
      <c r="A2" s="1" t="s">
        <v>45</v>
      </c>
      <c r="B2" s="1">
        <v>6</v>
      </c>
      <c r="C2" s="1">
        <v>3</v>
      </c>
      <c r="D2" s="1">
        <v>10</v>
      </c>
      <c r="E2" s="1">
        <v>10</v>
      </c>
      <c r="F2" s="1">
        <v>4</v>
      </c>
      <c r="G2" s="1">
        <v>5</v>
      </c>
      <c r="H2" s="1">
        <v>5</v>
      </c>
    </row>
    <row r="3" spans="1:8" ht="112.5" customHeight="1" x14ac:dyDescent="0.25">
      <c r="A3" s="1" t="s">
        <v>22</v>
      </c>
      <c r="B3" s="1">
        <v>9</v>
      </c>
      <c r="C3" s="1">
        <v>8</v>
      </c>
      <c r="D3" s="1">
        <v>9</v>
      </c>
      <c r="E3" s="1">
        <v>8</v>
      </c>
      <c r="F3" s="1">
        <v>9</v>
      </c>
      <c r="G3" s="1">
        <v>10</v>
      </c>
      <c r="H3" s="1">
        <v>9</v>
      </c>
    </row>
    <row r="4" spans="1:8" ht="112.5" customHeight="1" x14ac:dyDescent="0.25">
      <c r="A4" s="1" t="s">
        <v>30</v>
      </c>
      <c r="B4" s="1">
        <v>9</v>
      </c>
      <c r="C4" s="1">
        <v>10</v>
      </c>
      <c r="D4" s="1">
        <v>6</v>
      </c>
      <c r="E4" s="1">
        <v>1</v>
      </c>
      <c r="F4" s="1">
        <v>10</v>
      </c>
      <c r="G4" s="1">
        <v>10</v>
      </c>
      <c r="H4" s="1">
        <v>7</v>
      </c>
    </row>
    <row r="5" spans="1:8" ht="112.5" customHeight="1" x14ac:dyDescent="0.25">
      <c r="A5" s="1" t="s">
        <v>144</v>
      </c>
      <c r="B5" s="1">
        <v>10</v>
      </c>
      <c r="C5" s="1">
        <v>10</v>
      </c>
      <c r="D5" s="1">
        <v>5</v>
      </c>
      <c r="E5" s="1">
        <v>9</v>
      </c>
      <c r="F5" s="1">
        <v>10</v>
      </c>
      <c r="G5" s="1">
        <v>10</v>
      </c>
      <c r="H5" s="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Hitos por experimento</vt:lpstr>
      <vt:lpstr>Evaluación por experimento</vt:lpstr>
      <vt:lpstr>Evaluacion Final Modelos</vt:lpstr>
      <vt:lpstr>Herramientas</vt:lpstr>
      <vt:lpstr>Pipelines</vt:lpstr>
      <vt:lpstr>Evaluacion Pipelines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VICENCIO TELLO PAULO</cp:lastModifiedBy>
  <cp:lastPrinted>2026-03-05T17:12:37Z</cp:lastPrinted>
  <dcterms:created xsi:type="dcterms:W3CDTF">2026-01-27T20:20:10Z</dcterms:created>
  <dcterms:modified xsi:type="dcterms:W3CDTF">2026-03-20T18:08:48Z</dcterms:modified>
</cp:coreProperties>
</file>